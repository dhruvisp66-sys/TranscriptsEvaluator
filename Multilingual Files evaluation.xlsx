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ABE4057A-C549-47EF-B586-6DC5923761D4}" xr6:coauthVersionLast="47" xr6:coauthVersionMax="47" xr10:uidLastSave="{00000000-0000-0000-0000-000000000000}"/>
  <bookViews>
    <workbookView xWindow="240" yWindow="105" windowWidth="14805" windowHeight="8010" firstSheet="2" activeTab="3" xr2:uid="{00000000-000D-0000-FFFF-FFFF00000000}"/>
  </bookViews>
  <sheets>
    <sheet name="AE" sheetId="1" r:id="rId1"/>
    <sheet name="SA" sheetId="2" r:id="rId2"/>
    <sheet name="Cantonese" sheetId="3" r:id="rId3"/>
    <sheet name="Mandarin" sheetId="4" r:id="rId4"/>
    <sheet name="Korean" sheetId="5" r:id="rId5"/>
    <sheet name="Portugues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J2" i="6"/>
  <c r="L2" i="5"/>
  <c r="L2" i="3"/>
  <c r="L2" i="2"/>
  <c r="L2" i="1"/>
</calcChain>
</file>

<file path=xl/sharedStrings.xml><?xml version="1.0" encoding="utf-8"?>
<sst xmlns="http://schemas.openxmlformats.org/spreadsheetml/2006/main" count="335" uniqueCount="115">
  <si>
    <t>S.no.</t>
  </si>
  <si>
    <t>File Name</t>
  </si>
  <si>
    <t>Chief complaint</t>
  </si>
  <si>
    <t xml:space="preserve">Reason for visit </t>
  </si>
  <si>
    <t>Reported by</t>
  </si>
  <si>
    <t>Notes</t>
  </si>
  <si>
    <t>ROS</t>
  </si>
  <si>
    <t>Physical examination</t>
  </si>
  <si>
    <t>Assessment/plan</t>
  </si>
  <si>
    <t>Return to Office</t>
  </si>
  <si>
    <t>Observations</t>
  </si>
  <si>
    <t>Quality</t>
  </si>
  <si>
    <t>2026-01-27-06-39-44-5008f501-c071-47a4-99fd-ded8664f476d-8c0358d9-425e-45fe-b5fb-c445bfb7bb72-chart-vt1_s60DB</t>
  </si>
  <si>
    <t>NA</t>
  </si>
  <si>
    <t>Template</t>
  </si>
  <si>
    <t>The transcript contains only general conversation with no medical details; therefore, the AI note reflects a standard template with no clinical content.</t>
  </si>
  <si>
    <t>2026-01-27-06-39-44-1754fc2c-e5ff-4965-8e2d-f5b254626b3f-8c0358d9-425e-45fe-b5fb-c445bfb7bb72-chart-vt1_s60DB</t>
  </si>
  <si>
    <t xml:space="preserve">Approrpriate </t>
  </si>
  <si>
    <t>2026-01-27-06-39-44-45a1e528-c2ec-443e-b7ec-bc1e6802c688-8c0358d9-425e-45fe-b5fb-c445bfb7bb72-chart-vt1_s60DB</t>
  </si>
  <si>
    <t>Transcript Error: Does not contain any conversational details.</t>
  </si>
  <si>
    <t>2026-01-27-06-19-35-449b3bc6-0178-4d36-9321-88ed45a9298a-8c0358d9-425e-45fe-b5fb-c445bfb7bb72-chart-vt1_s60DB-mp3-uat01-deepgram-multi-lang-transcript-SL</t>
  </si>
  <si>
    <r>
      <rPr>
        <b/>
        <sz val="11"/>
        <color rgb="FF000000"/>
        <rFont val="Aptos Narrow"/>
        <scheme val="minor"/>
      </rPr>
      <t>Assumed details entered:</t>
    </r>
    <r>
      <rPr>
        <sz val="11"/>
        <color rgb="FF000000"/>
        <rFont val="Aptos Narrow"/>
        <scheme val="minor"/>
      </rPr>
      <t xml:space="preserve"> Patient will return to the office as needed.</t>
    </r>
  </si>
  <si>
    <t xml:space="preserve">Transcript does not contain any medical information. AI pulled templates for ROS and PE. Rest of the note does not contain any information except from "return to office" section including assumed details. </t>
  </si>
  <si>
    <t>2026-01-27-06-19-35-86f6f878-3fe2-476d-a827-8a2c1df94588-8c0358d9-425e-45fe-b5fb-c445bfb7bb72-chart-vt1_s60DB-mp3-uat01-deepgram-multi-lang-transcript-SL</t>
  </si>
  <si>
    <r>
      <rPr>
        <b/>
        <sz val="11"/>
        <color rgb="FF000000"/>
        <rFont val="Aptos Narrow"/>
        <scheme val="minor"/>
      </rPr>
      <t xml:space="preserve">Missing: </t>
    </r>
    <r>
      <rPr>
        <sz val="11"/>
        <color rgb="FF000000"/>
        <rFont val="Aptos Narrow"/>
        <scheme val="minor"/>
      </rPr>
      <t>dizziness and fatigue</t>
    </r>
  </si>
  <si>
    <t>Appropriate</t>
  </si>
  <si>
    <r>
      <rPr>
        <b/>
        <sz val="11"/>
        <color rgb="FF000000"/>
        <rFont val="Aptos Narrow"/>
        <scheme val="minor"/>
      </rPr>
      <t xml:space="preserve">Missing: Contitutional: </t>
    </r>
    <r>
      <rPr>
        <sz val="11"/>
        <color rgb="FF000000"/>
        <rFont val="Aptos Narrow"/>
        <scheme val="minor"/>
      </rPr>
      <t xml:space="preserve">Reports fatigue. </t>
    </r>
  </si>
  <si>
    <r>
      <rPr>
        <b/>
        <sz val="11"/>
        <color rgb="FF000000"/>
        <rFont val="Aptos Narrow"/>
        <scheme val="minor"/>
      </rPr>
      <t xml:space="preserve">Redundant in Assessment and plan: </t>
    </r>
    <r>
      <rPr>
        <sz val="11"/>
        <color rgb="FF000000"/>
        <rFont val="Aptos Narrow"/>
        <scheme val="minor"/>
      </rPr>
      <t xml:space="preserve">Patient presents with a severe headache, dizziness, and fatigue lasting for three days. Symptoms are persistent and have not improved. Physical examination reveals no acute distress or significant abnormalities. 
</t>
    </r>
    <r>
      <rPr>
        <b/>
        <sz val="11"/>
        <color rgb="FF000000"/>
        <rFont val="Aptos Narrow"/>
        <scheme val="minor"/>
      </rPr>
      <t xml:space="preserve">Assumed: </t>
    </r>
    <r>
      <rPr>
        <sz val="11"/>
        <color rgb="FF000000"/>
        <rFont val="Aptos Narrow"/>
        <scheme val="minor"/>
      </rPr>
      <t xml:space="preserve">Neurologic examination is notable for severe headache and dizziness.
</t>
    </r>
    <r>
      <rPr>
        <b/>
        <sz val="11"/>
        <color rgb="FF000000"/>
        <rFont val="Aptos Narrow"/>
        <scheme val="minor"/>
      </rPr>
      <t xml:space="preserve">Assumed/Possible template: </t>
    </r>
    <r>
      <rPr>
        <sz val="11"/>
        <color rgb="FF000000"/>
        <rFont val="Aptos Narrow"/>
        <scheme val="minor"/>
      </rPr>
      <t>Recommend follow-up if symptoms do not improve. Advise monitoring of symptoms and follow up if no improvement or worsening occurs. Suggest follow-up if symptoms persist.</t>
    </r>
  </si>
  <si>
    <t xml:space="preserve">Transcript did not contain assessment and plan related information other than taking medications and rest. Either the assessment and plan part is template or assumed. ROS missed pertinent positive. Chief complaint and reason for visit also included missing details. </t>
  </si>
  <si>
    <t>2026-01-27-06-19-35-8f6df685-9ea1-4266-a1ab-518febd5cda5-8c0358d9-425e-45fe-b5fb-c445bfb7bb72-chart-vt1_s60DB-mp3-uat01-deepgram-multi-lang-transcript-SL</t>
  </si>
  <si>
    <r>
      <rPr>
        <b/>
        <sz val="11"/>
        <color rgb="FF000000"/>
        <rFont val="Aptos Narrow"/>
        <scheme val="minor"/>
      </rPr>
      <t xml:space="preserve">Assumed details entered: </t>
    </r>
    <r>
      <rPr>
        <sz val="11"/>
        <color rgb="FF000000"/>
        <rFont val="Aptos Narrow"/>
        <scheme val="minor"/>
      </rPr>
      <t>Patient will return to the office as needed.</t>
    </r>
  </si>
  <si>
    <t>Reason for appointment</t>
  </si>
  <si>
    <t>HPI</t>
  </si>
  <si>
    <t>Pyschiatry</t>
  </si>
  <si>
    <t>Interim history</t>
  </si>
  <si>
    <t>Examination</t>
  </si>
  <si>
    <t>Treatment</t>
  </si>
  <si>
    <t>Assessment</t>
  </si>
  <si>
    <t>2026-02-24-12-48-40-174685ac-bf1c-49d6-b4ee-4a93d152b29c-8c0358d9-425e-45fe-b5fb-c445bfb7bb72-chart-vt1_s60DB</t>
  </si>
  <si>
    <t xml:space="preserve">The transcript educates on learning hospital vocabulary only. AI has generated the section templates along with relevant information as per the specific template. There is no charting related information encountred in the audio. </t>
  </si>
  <si>
    <t>2026-02-24-12-48-40-1252848c-08e0-45e1-b146-3efae255a42b-8c0358d9-425e-45fe-b5fb-c445bfb7bb72-chart-vt1_s60DB</t>
  </si>
  <si>
    <t>The transcript educates on "Daily Cantonese" focusing on learning hospital/clinical vocabulary by the user to be used while visiting their doctor. AI has generated the section templates along with relevant information as per the specific template. There is no charting related information encountered in the audio.</t>
  </si>
  <si>
    <t>2026-02-24-12-48-40-ac182567-ea9a-4c2c-839c-ff9d2a1234ed-8c0358d9-425e-45fe-b5fb-c445bfb7bb72-chart-vt1_s60DB</t>
  </si>
  <si>
    <t>The transcript educates on medical related terms and appointment scheduling vocabulary to be used by the user during their hospital/clinical encounter. AI has generated the section templates along with relevant information as per the specific template. There is no charting related information encountered in the audio.</t>
  </si>
  <si>
    <t>2026-02-24-12-48-40-c187a094-e963-4574-ac0a-3961585d608b-8c0358d9-425e-45fe-b5fb-c445bfb7bb72-chart-vt1_s60DB</t>
  </si>
  <si>
    <t>This transcript educates on basic phrases and sentences used in medical interview including greetings, OLD CART and medical histories.  AI was unable to generate templates for sections like ROS and other sections as generated in the previous charts. There is no charting related information encountered in the audio.</t>
  </si>
  <si>
    <t>2026-02-24-12-48-40-fcaa0177-22b4-42d3-aa31-00ebb7b9715c-8c0358d9-425e-45fe-b5fb-c445bfb7bb72-chart-vt1_s60DB</t>
  </si>
  <si>
    <r>
      <t xml:space="preserve"> </t>
    </r>
    <r>
      <rPr>
        <b/>
        <sz val="11"/>
        <color rgb="FF000000"/>
        <rFont val="Aptos Narrow"/>
        <family val="2"/>
      </rPr>
      <t>Missing information in RFA</t>
    </r>
    <r>
      <rPr>
        <sz val="11"/>
        <color rgb="FF000000"/>
        <rFont val="Aptos Narrow"/>
        <family val="2"/>
      </rPr>
      <t xml:space="preserve">: Cold symptoms with runny nose, sore throat, and cough. Vs Cold symptoms with runny nose, sore throat, cough, and </t>
    </r>
    <r>
      <rPr>
        <b/>
        <sz val="11"/>
        <color rgb="FF000000"/>
        <rFont val="Aptos Narrow"/>
        <family val="2"/>
      </rPr>
      <t>headache</t>
    </r>
    <r>
      <rPr>
        <sz val="11"/>
        <color rgb="FF000000"/>
        <rFont val="Aptos Narrow"/>
        <family val="2"/>
      </rPr>
      <t>.</t>
    </r>
  </si>
  <si>
    <r>
      <t>Incorrect and missing information in HPI</t>
    </r>
    <r>
      <rPr>
        <sz val="11"/>
        <color rgb="FF000000"/>
        <rFont val="Aptos Narrow"/>
        <family val="2"/>
      </rPr>
      <t xml:space="preserve">: XX-year-old female patient who presents today for cold symptoms. - Runny nose for a few days, </t>
    </r>
    <r>
      <rPr>
        <b/>
        <sz val="11"/>
        <color rgb="FF000000"/>
        <rFont val="Aptos Narrow"/>
        <family val="2"/>
      </rPr>
      <t>using a lot of tissues</t>
    </r>
    <r>
      <rPr>
        <sz val="11"/>
        <color rgb="FF000000"/>
        <rFont val="Aptos Narrow"/>
        <family val="2"/>
      </rPr>
      <t xml:space="preserve">. – </t>
    </r>
    <r>
      <rPr>
        <b/>
        <sz val="11"/>
        <color rgb="FF000000"/>
        <rFont val="Aptos Narrow"/>
        <family val="2"/>
      </rPr>
      <t xml:space="preserve">Severe sore throat </t>
    </r>
    <r>
      <rPr>
        <sz val="11"/>
        <color rgb="FF000000"/>
        <rFont val="Aptos Narrow"/>
        <family val="2"/>
      </rPr>
      <t xml:space="preserve">and coughing. - </t>
    </r>
    <r>
      <rPr>
        <b/>
        <sz val="11"/>
        <color rgb="FF000000"/>
        <rFont val="Aptos Narrow"/>
        <family val="2"/>
      </rPr>
      <t xml:space="preserve">Slight fever </t>
    </r>
    <r>
      <rPr>
        <sz val="11"/>
        <color rgb="FF000000"/>
        <rFont val="Aptos Narrow"/>
        <family val="2"/>
      </rPr>
      <t xml:space="preserve">and chills. - Headache present. VS  XX-year-old female patient who presents today for cold symptoms for a few days with associated runny nose. Reports </t>
    </r>
    <r>
      <rPr>
        <b/>
        <sz val="11"/>
        <color rgb="FF000000"/>
        <rFont val="Aptos Narrow"/>
        <family val="2"/>
      </rPr>
      <t>she has used a few rolls of toilet paper in 2 days</t>
    </r>
    <r>
      <rPr>
        <sz val="11"/>
        <color rgb="FF000000"/>
        <rFont val="Aptos Narrow"/>
        <family val="2"/>
      </rPr>
      <t xml:space="preserve">. Also, complained of sore throat and </t>
    </r>
    <r>
      <rPr>
        <b/>
        <sz val="11"/>
        <color rgb="FF000000"/>
        <rFont val="Aptos Narrow"/>
        <family val="2"/>
      </rPr>
      <t>severe coughing</t>
    </r>
    <r>
      <rPr>
        <sz val="11"/>
        <color rgb="FF000000"/>
        <rFont val="Aptos Narrow"/>
        <family val="2"/>
      </rPr>
      <t xml:space="preserve">. </t>
    </r>
    <r>
      <rPr>
        <b/>
        <sz val="11"/>
        <color rgb="FF000000"/>
        <rFont val="Aptos Narrow"/>
        <family val="2"/>
      </rPr>
      <t xml:space="preserve">Denies fever </t>
    </r>
    <r>
      <rPr>
        <sz val="11"/>
        <color rgb="FF000000"/>
        <rFont val="Aptos Narrow"/>
        <family val="2"/>
      </rPr>
      <t>but admits chills. Headache present.</t>
    </r>
  </si>
  <si>
    <r>
      <t>Incorrect information in Interim History</t>
    </r>
    <r>
      <rPr>
        <sz val="11"/>
        <color rgb="FF000000"/>
        <rFont val="Aptos Narrow"/>
        <family val="2"/>
      </rPr>
      <t xml:space="preserve">: Respiratory: Severe coughing, </t>
    </r>
    <r>
      <rPr>
        <b/>
        <sz val="11"/>
        <color rgb="FF000000"/>
        <rFont val="Aptos Narrow"/>
        <family val="2"/>
      </rPr>
      <t>slight fever</t>
    </r>
    <r>
      <rPr>
        <sz val="11"/>
        <color rgb="FF000000"/>
        <rFont val="Aptos Narrow"/>
        <family val="2"/>
      </rPr>
      <t xml:space="preserve">, chills. HEENT: Runny nose, </t>
    </r>
    <r>
      <rPr>
        <b/>
        <sz val="11"/>
        <color rgb="FF000000"/>
        <rFont val="Aptos Narrow"/>
        <family val="2"/>
      </rPr>
      <t xml:space="preserve">severe </t>
    </r>
    <r>
      <rPr>
        <sz val="11"/>
        <color rgb="FF000000"/>
        <rFont val="Aptos Narrow"/>
        <family val="2"/>
      </rPr>
      <t>sore throat. VS Respiratory: Severe coughing, and chills. HEENT: Runny nose, and sore throat.</t>
    </r>
  </si>
  <si>
    <r>
      <t>Incorrect information in ROS</t>
    </r>
    <r>
      <rPr>
        <sz val="11"/>
        <color rgb="FF000000"/>
        <rFont val="Aptos Narrow"/>
        <family val="2"/>
      </rPr>
      <t xml:space="preserve">: Constitutional: Reports </t>
    </r>
    <r>
      <rPr>
        <b/>
        <sz val="11"/>
        <color rgb="FF000000"/>
        <rFont val="Aptos Narrow"/>
        <family val="2"/>
      </rPr>
      <t>slight fever</t>
    </r>
    <r>
      <rPr>
        <sz val="11"/>
        <color rgb="FF000000"/>
        <rFont val="Aptos Narrow"/>
        <family val="2"/>
      </rPr>
      <t xml:space="preserve">, chills, headache. HEENT: Reports runny nose, </t>
    </r>
    <r>
      <rPr>
        <b/>
        <sz val="11"/>
        <color rgb="FF000000"/>
        <rFont val="Aptos Narrow"/>
        <family val="2"/>
      </rPr>
      <t xml:space="preserve">severe </t>
    </r>
    <r>
      <rPr>
        <sz val="11"/>
        <color rgb="FF000000"/>
        <rFont val="Aptos Narrow"/>
        <family val="2"/>
      </rPr>
      <t xml:space="preserve">sore throat. VS Constitutional: Reports chills or headache. </t>
    </r>
    <r>
      <rPr>
        <b/>
        <sz val="11"/>
        <color rgb="FF000000"/>
        <rFont val="Aptos Narrow"/>
        <family val="2"/>
      </rPr>
      <t>Denies fever</t>
    </r>
    <r>
      <rPr>
        <sz val="11"/>
        <color rgb="FF000000"/>
        <rFont val="Aptos Narrow"/>
        <family val="2"/>
      </rPr>
      <t>. HEENT: Reports runny nose, sore throat.</t>
    </r>
  </si>
  <si>
    <r>
      <rPr>
        <b/>
        <sz val="11"/>
        <color rgb="FF000000"/>
        <rFont val="Aptos Narrow"/>
      </rPr>
      <t xml:space="preserve">Redundant information: </t>
    </r>
    <r>
      <rPr>
        <sz val="11"/>
        <color rgb="FF000000"/>
        <rFont val="Aptos Narrow"/>
      </rPr>
      <t>PE limited due to Tele Visit. PE limited due to Tele Visit. VS This visit was an in-patient visit.</t>
    </r>
  </si>
  <si>
    <r>
      <t>Missing information in Treatment/Plan</t>
    </r>
    <r>
      <rPr>
        <sz val="11"/>
        <color rgb="FF000000"/>
        <rFont val="Aptos Narrow"/>
        <family val="2"/>
      </rPr>
      <t xml:space="preserve">: Clinical Notes: Patient diagnosed with common cold. Advised rest for a few days, increase fluid intake, and use over-the-counter cough medicine and throat lozenges as needed. Honey water suggested for soothing throat. VS Clinical Notes: Patient diagnosed with common cold. </t>
    </r>
    <r>
      <rPr>
        <b/>
        <sz val="11"/>
        <color rgb="FF000000"/>
        <rFont val="Aptos Narrow"/>
        <family val="2"/>
      </rPr>
      <t>Instructed the patient there is nothing to worry about.</t>
    </r>
    <r>
      <rPr>
        <sz val="11"/>
        <color rgb="FF000000"/>
        <rFont val="Aptos Narrow"/>
        <family val="2"/>
      </rPr>
      <t xml:space="preserve"> Advised rest for a few days; </t>
    </r>
    <r>
      <rPr>
        <b/>
        <sz val="11"/>
        <color rgb="FF000000"/>
        <rFont val="Aptos Narrow"/>
        <family val="2"/>
      </rPr>
      <t>especially rest more today; refrain from overworking</t>
    </r>
    <r>
      <rPr>
        <sz val="11"/>
        <color rgb="FF000000"/>
        <rFont val="Aptos Narrow"/>
        <family val="2"/>
      </rPr>
      <t>; increase fluid intake; and use over-the-counter cough medicine and throat lozenges as needed. Honey water suggested for soothing throat.</t>
    </r>
  </si>
  <si>
    <t>Appropirate</t>
  </si>
  <si>
    <t xml:space="preserve">This audio was an enactment of the patient-provider visit by the dictator. There were missing and incorrect information in various sections of the chart. </t>
  </si>
  <si>
    <t>2026-02-24-13-20-06-dd486e8e-009f-48a0-93bf-66354e72204b-8c0358d9-425e-45fe-b5fb-c445bfb7bb72-chart-vt1_s60DB-mp3-uat01-deepgram-multi-lang-transcript-SL</t>
  </si>
  <si>
    <r>
      <rPr>
        <b/>
        <sz val="11"/>
        <color rgb="FF000000"/>
        <rFont val="Aptos Narrow"/>
        <scheme val="minor"/>
      </rPr>
      <t xml:space="preserve">Capitalization error: </t>
    </r>
    <r>
      <rPr>
        <sz val="11"/>
        <color rgb="FF000000"/>
        <rFont val="Aptos Narrow"/>
        <scheme val="minor"/>
      </rPr>
      <t xml:space="preserve"> chief complaint vs Chief Complaint.
</t>
    </r>
    <r>
      <rPr>
        <b/>
        <sz val="11"/>
        <color rgb="FF000000"/>
        <rFont val="Aptos Narrow"/>
        <scheme val="minor"/>
      </rPr>
      <t xml:space="preserve">Assumed details under Visit information: </t>
    </r>
    <r>
      <rPr>
        <sz val="11"/>
        <color rgb="FF000000"/>
        <rFont val="Aptos Narrow"/>
        <scheme val="minor"/>
      </rPr>
      <t>Patient consents to being treated by provider using telehealth visits, virtual check-in or e-visit type of service. Patient was advised that co-pays and balances may apply and assumes financial responsibility for applicable charges. Visit was completed via: Cloud Mandarin.</t>
    </r>
  </si>
  <si>
    <r>
      <rPr>
        <b/>
        <sz val="11"/>
        <color rgb="FF000000"/>
        <rFont val="Aptos Narrow"/>
        <scheme val="minor"/>
      </rPr>
      <t xml:space="preserve">Incomplete heading: </t>
    </r>
    <r>
      <rPr>
        <sz val="11"/>
        <color rgb="FF000000"/>
        <rFont val="Aptos Narrow"/>
        <scheme val="minor"/>
      </rPr>
      <t xml:space="preserve">Examination vs physical examination. </t>
    </r>
    <r>
      <rPr>
        <b/>
        <sz val="11"/>
        <color rgb="FF000000"/>
        <rFont val="Aptos Narrow"/>
        <scheme val="minor"/>
      </rPr>
      <t xml:space="preserve">Redundant: </t>
    </r>
    <r>
      <rPr>
        <sz val="11"/>
        <color rgb="FF000000"/>
        <rFont val="Aptos Narrow"/>
        <scheme val="minor"/>
      </rPr>
      <t xml:space="preserve">PE limited due to Tele Visit.
PE limited due to Tele Visit.
</t>
    </r>
  </si>
  <si>
    <r>
      <rPr>
        <b/>
        <sz val="11"/>
        <color rgb="FF000000"/>
        <rFont val="Aptos Narrow"/>
        <scheme val="minor"/>
      </rPr>
      <t xml:space="preserve">Missing: </t>
    </r>
    <r>
      <rPr>
        <sz val="11"/>
        <color rgb="FF000000"/>
        <rFont val="Aptos Narrow"/>
        <scheme val="minor"/>
      </rPr>
      <t xml:space="preserve">(1 tablet 3 times a day after meals) </t>
    </r>
  </si>
  <si>
    <t xml:space="preserve">Redundant/Incorrect detail noted in examination and missing information noticed in assessment section. These errors are noticed in AI notes only. </t>
  </si>
  <si>
    <t>2026-02-24-13-23-10-4334f8bd-ea58-497f-968f-d57d5e49a5d3-8c0358d9-425e-45fe-b5fb-c445bfb7bb72-chart-vt1_s60DB-mp3-uat01-deepgram-multi-lang-transcript-SL</t>
  </si>
  <si>
    <t>appropriate</t>
  </si>
  <si>
    <t xml:space="preserve">No medical information in the transcript. Based on that, AI pulled all the templates correctly. No assumed information included in the AI note. </t>
  </si>
  <si>
    <t>2026-02-24-13-23-10-4ed87974-e613-4d62-a963-9428eefc572d-8c0358d9-425e-45fe-b5fb-c445bfb7bb72-chart-vt1_s60DB-mp3-uat01-deepgram-multi-lang-transcript-SL</t>
  </si>
  <si>
    <r>
      <rPr>
        <b/>
        <sz val="11"/>
        <color rgb="FF000000"/>
        <rFont val="Aptos Narrow"/>
        <scheme val="minor"/>
      </rPr>
      <t xml:space="preserve">Missing: </t>
    </r>
    <r>
      <rPr>
        <sz val="11"/>
        <color rgb="FF000000"/>
        <rFont val="Aptos Narrow"/>
        <scheme val="minor"/>
      </rPr>
      <t>Fever, runny nose, cough, fatigue, sore throat, and dizziness.</t>
    </r>
  </si>
  <si>
    <r>
      <rPr>
        <b/>
        <sz val="11"/>
        <color rgb="FF000000"/>
        <rFont val="Aptos Narrow"/>
        <scheme val="minor"/>
      </rPr>
      <t xml:space="preserve">Missing/incorrect: </t>
    </r>
    <r>
      <rPr>
        <sz val="11"/>
        <color rgb="FF000000"/>
        <rFont val="Aptos Narrow"/>
        <scheme val="minor"/>
      </rPr>
      <t>Unable to generate note — insufficient or unclear medical information in the source data. VS fever, runny nose, cough, fatigue, sore throat, and dizziness.</t>
    </r>
  </si>
  <si>
    <t xml:space="preserve">Missing pertinent positives. </t>
  </si>
  <si>
    <r>
      <rPr>
        <b/>
        <sz val="11"/>
        <color rgb="FF000000"/>
        <rFont val="Aptos Narrow"/>
        <scheme val="minor"/>
      </rPr>
      <t xml:space="preserve">Incorrect/Missing: </t>
    </r>
    <r>
      <rPr>
        <sz val="11"/>
        <color rgb="FF000000"/>
        <rFont val="Aptos Narrow"/>
        <scheme val="minor"/>
      </rPr>
      <t xml:space="preserve">Unable to generate note — insufficient or unclear medical information in the source data. VS Recommend to drink plenty of water and rest properly. Provided prescription for cold symptoms. Informed COVID-19 came back negative. </t>
    </r>
  </si>
  <si>
    <t xml:space="preserve">Missing assessments. </t>
  </si>
  <si>
    <t xml:space="preserve">Transcript did include some medical information. AI failed to pertinent positives in ROS and related details in HPI. </t>
  </si>
  <si>
    <t>2026-02-24-13-23-10-b43e5f14-d984-428b-9499-b3836b8efe46-8c0358d9-425e-45fe-b5fb-c445bfb7bb72-chart-vt1_s60DB-mp3-uat01-deepgram-multi-lang-transcript-SL</t>
  </si>
  <si>
    <t xml:space="preserve">Transcript did not include medical information. AI  pulled the templates properly. </t>
  </si>
  <si>
    <t>2026-02-24-13-23-10-b80c90c7-a6df-4870-af21-2a89c1087e19-8c0358d9-425e-45fe-b5fb-c445bfb7bb72-chart-vt1_s60DB-mp3-uat01-deepgram-multi-lang-transcript-SL</t>
  </si>
  <si>
    <t>2026-02-24-13-23-10-f7177a55-4a38-455b-8831-e3bd68d3647c-8c0358d9-425e-45fe-b5fb-c445bfb7bb72-chart-vt1_s60DB-mp3-uat01-deepgram-multi-lang-transcript-SL</t>
  </si>
  <si>
    <t xml:space="preserve">AI note did good job with the note based on the information in transcript. All the templates pulled correctly and complete information is included in the AI note. </t>
  </si>
  <si>
    <t>2026-02-24-12-10-51-0a8dfdaa-b3e5-4bd4-83d6-a96f23553840-ramchandra-am-chart-vt1_s60DB</t>
  </si>
  <si>
    <t>Transcripts not available (ERROR: Empty Audio Received)</t>
  </si>
  <si>
    <t>2026-02-24-12-10-51-8fd3c447-facb-4612-a363-493d87a8020a-ramchandra-am-chart-vt1_s60DB</t>
  </si>
  <si>
    <t>2026-02-24-12-10-51-46deba5b-b54b-4426-96d8-7e4ef0c9188b-ramchandra-am-chart-vt1_s60DB</t>
  </si>
  <si>
    <t>Not mentioned</t>
  </si>
  <si>
    <t xml:space="preserve">Chart does not consist of any information available in the transcript. No information generated under any heading. </t>
  </si>
  <si>
    <t>2026-02-24-12-10-51-67e82ed3-1d28-494b-bdbc-1de3bb2aedbd-ramchandra-am-chart-vt1_s60DB</t>
  </si>
  <si>
    <t>Chart has no information generated under any heading. Transcript information has no relevance to any medical report.</t>
  </si>
  <si>
    <t>2026-02-24-12-10-51-76ffb75e-6a68-4cba-aa58-2e9435fcbe03-ramchandra-am-chart-vt1_s60DB</t>
  </si>
  <si>
    <t>1 missing information</t>
  </si>
  <si>
    <t>Heading not generated</t>
  </si>
  <si>
    <t>Overall, good quality output with 1 missing information</t>
  </si>
  <si>
    <t>2026-02-24-12-10-51-897d6422-6e9e-41b9-b5e9-429651f64279-ramchandra-am-chart-vt1_s60DB</t>
  </si>
  <si>
    <t>1 misplaced and 1 irrelevant information</t>
  </si>
  <si>
    <t>1 Assumed information (Transcript does not contain similar information)</t>
  </si>
  <si>
    <t>1 Misplaced information, 1 Irrelevant information, 1 Missing information, and 1 Assumed information</t>
  </si>
  <si>
    <t>Imaging review</t>
  </si>
  <si>
    <t>Diagnosis</t>
  </si>
  <si>
    <t>Assessment-Plan</t>
  </si>
  <si>
    <t>2026-02-24-11-45-23-30c544a4-0338-4614-a9a2-0a4bb62dac64-ramchandra-am-chart-vt1_s60DB</t>
  </si>
  <si>
    <t>apt</t>
  </si>
  <si>
    <t>assumed</t>
  </si>
  <si>
    <t>1 assumed point</t>
  </si>
  <si>
    <t>2026-02-24-11-45-23-44506fb0-d98b-4b5d-80be-e512b72e6039-ramchandra-am-chart-vt1_s60DB</t>
  </si>
  <si>
    <t>missed</t>
  </si>
  <si>
    <t>5 missed points</t>
  </si>
  <si>
    <t>6 missed points</t>
  </si>
  <si>
    <t>2026-02-24-11-45-23-3953610a-0fc1-40a0-94e5-c02330bd1bfd-ramchandra-am-chart-vt1_s60DB</t>
  </si>
  <si>
    <t>10 apt points; 3 missed points</t>
  </si>
  <si>
    <t>4 apt points</t>
  </si>
  <si>
    <t>3 apt points; 4 missed points</t>
  </si>
  <si>
    <t>7 missed points</t>
  </si>
  <si>
    <t xml:space="preserve">The transcript consists of 2 visits. The first 1 ends at page 5 and AI prepped note for the second visit. </t>
  </si>
  <si>
    <t>2026-02-24-11-45-23-c9a31dd6-76b6-479c-af2f-8c4341ff0361-ramchandra-am-chart-vt1_s60DB</t>
  </si>
  <si>
    <t xml:space="preserve">The transcript is that of an explanation regarding a medical appointment in Portugal/Portuguese speaking country. </t>
  </si>
  <si>
    <t>2026-02-24-11-45-23-c496fc8d-dd8e-45a7-abce-bfa18bb922ba-ramchandra-am-chart-vt1_s60DB</t>
  </si>
  <si>
    <t>partially apt; partially missed</t>
  </si>
  <si>
    <t>15 apt points; 4 missed points</t>
  </si>
  <si>
    <t>4 apt points; 3 missed points</t>
  </si>
  <si>
    <t xml:space="preserve">8 missed 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</si>
</sst>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Aptos Narrow"/>
      <family val="2"/>
      <scheme val="minor"/>
    </font>
    <font>
      <b/>
      <sz val="12"/>
      <color theme="0"/>
      <name val="Aptos Narrow"/>
      <family val="2"/>
      <scheme val="minor"/>
    </font>
    <font>
      <b/>
      <sz val="12"/>
      <color theme="0"/>
      <name val="Aptos Narrow"/>
      <scheme val="minor"/>
    </font>
    <font>
      <sz val="12"/>
      <color theme="1"/>
      <name val="Aptos Narrow"/>
      <family val="2"/>
      <scheme val="minor"/>
    </font>
    <font>
      <b/>
      <sz val="12"/>
      <color theme="1"/>
      <name val="Aptos Narrow"/>
      <family val="2"/>
      <scheme val="minor"/>
    </font>
    <font>
      <sz val="11"/>
      <color rgb="FF000000"/>
      <name val="Aptos Narrow"/>
      <scheme val="minor"/>
    </font>
    <font>
      <sz val="11"/>
      <color rgb="FF000000"/>
      <name val="Calibri"/>
    </font>
    <font>
      <b/>
      <sz val="11"/>
      <color rgb="FF000000"/>
      <name val="Aptos Narrow"/>
      <scheme val="minor"/>
    </font>
    <font>
      <sz val="11"/>
      <color rgb="FF000000"/>
      <name val="Aptos Narrow"/>
      <family val="2"/>
      <scheme val="minor"/>
    </font>
    <font>
      <sz val="12"/>
      <color rgb="FF000000"/>
      <name val="Aptos Narrow"/>
      <family val="2"/>
      <scheme val="minor"/>
    </font>
    <font>
      <sz val="12"/>
      <color rgb="FF000000"/>
      <name val="Calibri"/>
    </font>
    <font>
      <sz val="11"/>
      <color rgb="FF000000"/>
      <name val="Aptos Narrow"/>
      <family val="2"/>
    </font>
    <font>
      <sz val="11"/>
      <color rgb="FF000000"/>
      <name val="Aptos Narrow"/>
    </font>
    <font>
      <sz val="11"/>
      <color rgb="FF000000"/>
      <name val="Calibri"/>
      <family val="2"/>
    </font>
    <font>
      <b/>
      <sz val="11"/>
      <color rgb="FF000000"/>
      <name val="Aptos Narrow"/>
      <family val="2"/>
    </font>
    <font>
      <b/>
      <sz val="11"/>
      <color rgb="FF000000"/>
      <name val="Aptos Narrow"/>
    </font>
  </fonts>
  <fills count="6">
    <fill>
      <patternFill patternType="none"/>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7"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3" fillId="4"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0" xfId="0" applyFont="1" applyAlignment="1">
      <alignment horizontal="center" vertical="center" wrapText="1"/>
    </xf>
    <xf numFmtId="0" fontId="11" fillId="0" borderId="1" xfId="0" applyFont="1" applyBorder="1" applyAlignment="1">
      <alignment horizontal="center" wrapText="1"/>
    </xf>
    <xf numFmtId="0" fontId="12" fillId="0" borderId="6" xfId="0" applyFont="1" applyBorder="1" applyAlignment="1">
      <alignment horizontal="center" wrapText="1"/>
    </xf>
    <xf numFmtId="0" fontId="11" fillId="0" borderId="6" xfId="0" applyFont="1" applyBorder="1" applyAlignment="1">
      <alignment horizontal="center" wrapText="1"/>
    </xf>
    <xf numFmtId="0" fontId="11" fillId="0" borderId="7" xfId="0" applyFont="1" applyBorder="1" applyAlignment="1">
      <alignment horizontal="center" wrapText="1"/>
    </xf>
    <xf numFmtId="0" fontId="14" fillId="0" borderId="6" xfId="0" applyFont="1" applyBorder="1" applyAlignment="1">
      <alignment horizontal="center" wrapText="1"/>
    </xf>
    <xf numFmtId="0" fontId="4" fillId="0" borderId="1" xfId="0" applyFont="1" applyBorder="1" applyAlignment="1">
      <alignment horizontal="center" vertical="center" wrapText="1"/>
    </xf>
    <xf numFmtId="0" fontId="15" fillId="0" borderId="6" xfId="0" applyFont="1" applyBorder="1" applyAlignment="1">
      <alignment horizont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7" xfId="0" applyFont="1" applyBorder="1" applyAlignment="1">
      <alignment horizontal="center" wrapText="1"/>
    </xf>
    <xf numFmtId="0" fontId="3" fillId="0" borderId="6"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workbookViewId="0">
      <selection activeCell="K6" sqref="K6"/>
    </sheetView>
  </sheetViews>
  <sheetFormatPr defaultRowHeight="15"/>
  <cols>
    <col min="1" max="1" width="8.140625" customWidth="1"/>
    <col min="2" max="2" width="21.85546875" customWidth="1"/>
    <col min="3" max="3" width="18.42578125" customWidth="1"/>
    <col min="4" max="4" width="14" customWidth="1"/>
    <col min="5" max="5" width="12.5703125" customWidth="1"/>
    <col min="6" max="6" width="12" customWidth="1"/>
    <col min="7" max="7" width="12.28515625" customWidth="1"/>
    <col min="8" max="8" width="13.140625" customWidth="1"/>
    <col min="9" max="9" width="18.5703125" customWidth="1"/>
    <col min="10" max="10" width="12.5703125" customWidth="1"/>
    <col min="11" max="11" width="26" customWidth="1"/>
  </cols>
  <sheetData>
    <row r="1" spans="1:12" ht="46.5">
      <c r="A1" s="1" t="s">
        <v>0</v>
      </c>
      <c r="B1" s="1" t="s">
        <v>1</v>
      </c>
      <c r="C1" s="1" t="s">
        <v>2</v>
      </c>
      <c r="D1" s="1" t="s">
        <v>3</v>
      </c>
      <c r="E1" s="2" t="s">
        <v>4</v>
      </c>
      <c r="F1" s="1" t="s">
        <v>5</v>
      </c>
      <c r="G1" s="1" t="s">
        <v>6</v>
      </c>
      <c r="H1" s="1" t="s">
        <v>7</v>
      </c>
      <c r="I1" s="1" t="s">
        <v>8</v>
      </c>
      <c r="J1" s="1" t="s">
        <v>9</v>
      </c>
      <c r="K1" s="14" t="s">
        <v>10</v>
      </c>
      <c r="L1" s="1" t="s">
        <v>11</v>
      </c>
    </row>
    <row r="2" spans="1:12" ht="15.75">
      <c r="A2" s="1"/>
      <c r="B2" s="1"/>
      <c r="C2" s="1"/>
      <c r="D2" s="1"/>
      <c r="E2" s="1"/>
      <c r="F2" s="1"/>
      <c r="G2" s="1"/>
      <c r="H2" s="1"/>
      <c r="I2" s="1"/>
      <c r="J2" s="1"/>
      <c r="K2" s="3"/>
      <c r="L2" s="12">
        <f>AVERAGE(L4:L6)</f>
        <v>10</v>
      </c>
    </row>
    <row r="3" spans="1:12" ht="15.75">
      <c r="A3" s="4"/>
      <c r="B3" s="4"/>
      <c r="C3" s="5"/>
      <c r="D3" s="5"/>
      <c r="E3" s="5"/>
      <c r="F3" s="5"/>
      <c r="G3" s="5"/>
      <c r="H3" s="5"/>
      <c r="I3" s="5"/>
      <c r="J3" s="5"/>
      <c r="K3" s="6"/>
      <c r="L3" s="13"/>
    </row>
    <row r="4" spans="1:12" ht="108">
      <c r="A4" s="7">
        <v>1</v>
      </c>
      <c r="B4" s="8" t="s">
        <v>12</v>
      </c>
      <c r="C4" s="9" t="s">
        <v>13</v>
      </c>
      <c r="D4" s="10" t="s">
        <v>13</v>
      </c>
      <c r="E4" s="9" t="s">
        <v>13</v>
      </c>
      <c r="F4" s="9" t="s">
        <v>13</v>
      </c>
      <c r="G4" s="9" t="s">
        <v>14</v>
      </c>
      <c r="H4" s="9" t="s">
        <v>14</v>
      </c>
      <c r="I4" s="9" t="s">
        <v>13</v>
      </c>
      <c r="J4" s="9" t="s">
        <v>13</v>
      </c>
      <c r="K4" s="11" t="s">
        <v>15</v>
      </c>
      <c r="L4" s="8"/>
    </row>
    <row r="5" spans="1:12" ht="108">
      <c r="A5" s="7">
        <v>2</v>
      </c>
      <c r="B5" s="8" t="s">
        <v>16</v>
      </c>
      <c r="C5" s="9" t="s">
        <v>17</v>
      </c>
      <c r="D5" s="9" t="s">
        <v>17</v>
      </c>
      <c r="E5" s="9" t="s">
        <v>17</v>
      </c>
      <c r="F5" s="9" t="s">
        <v>17</v>
      </c>
      <c r="G5" s="9" t="s">
        <v>17</v>
      </c>
      <c r="H5" s="9" t="s">
        <v>17</v>
      </c>
      <c r="I5" s="9" t="s">
        <v>17</v>
      </c>
      <c r="J5" s="9" t="s">
        <v>17</v>
      </c>
      <c r="K5" s="15" t="s">
        <v>13</v>
      </c>
      <c r="L5" s="8">
        <v>10</v>
      </c>
    </row>
    <row r="6" spans="1:12" ht="108">
      <c r="A6" s="7">
        <v>3</v>
      </c>
      <c r="B6" s="8" t="s">
        <v>18</v>
      </c>
      <c r="C6" s="9" t="s">
        <v>13</v>
      </c>
      <c r="D6" s="10" t="s">
        <v>13</v>
      </c>
      <c r="E6" s="9" t="s">
        <v>13</v>
      </c>
      <c r="F6" s="9" t="s">
        <v>13</v>
      </c>
      <c r="G6" s="9" t="s">
        <v>14</v>
      </c>
      <c r="H6" s="9" t="s">
        <v>14</v>
      </c>
      <c r="I6" s="9" t="s">
        <v>13</v>
      </c>
      <c r="J6" s="9" t="s">
        <v>13</v>
      </c>
      <c r="K6" s="11" t="s">
        <v>19</v>
      </c>
      <c r="L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5339-F0DE-4401-8FE9-734C18DEE79A}">
  <dimension ref="A1:L6"/>
  <sheetViews>
    <sheetView workbookViewId="0">
      <pane ySplit="1" topLeftCell="H2" activePane="bottomLeft" state="frozen"/>
      <selection pane="bottomLeft" activeCell="H6" sqref="H6"/>
    </sheetView>
  </sheetViews>
  <sheetFormatPr defaultRowHeight="15"/>
  <cols>
    <col min="1" max="1" width="8" customWidth="1"/>
    <col min="2" max="2" width="21" customWidth="1"/>
    <col min="3" max="3" width="15.140625" customWidth="1"/>
    <col min="4" max="4" width="13" customWidth="1"/>
    <col min="5" max="5" width="11" customWidth="1"/>
    <col min="6" max="6" width="11.140625" customWidth="1"/>
    <col min="7" max="7" width="13.5703125" customWidth="1"/>
    <col min="8" max="8" width="23.5703125" customWidth="1"/>
    <col min="9" max="9" width="21.28515625" customWidth="1"/>
    <col min="10" max="10" width="16.28515625" customWidth="1"/>
    <col min="11" max="11" width="39.140625" customWidth="1"/>
  </cols>
  <sheetData>
    <row r="1" spans="1:12" ht="46.5">
      <c r="A1" s="1" t="s">
        <v>0</v>
      </c>
      <c r="B1" s="1" t="s">
        <v>1</v>
      </c>
      <c r="C1" s="1" t="s">
        <v>2</v>
      </c>
      <c r="D1" s="1" t="s">
        <v>3</v>
      </c>
      <c r="E1" s="2" t="s">
        <v>4</v>
      </c>
      <c r="F1" s="1" t="s">
        <v>5</v>
      </c>
      <c r="G1" s="1" t="s">
        <v>6</v>
      </c>
      <c r="H1" s="1" t="s">
        <v>7</v>
      </c>
      <c r="I1" s="1" t="s">
        <v>8</v>
      </c>
      <c r="J1" s="1" t="s">
        <v>9</v>
      </c>
      <c r="K1" s="14" t="s">
        <v>10</v>
      </c>
      <c r="L1" s="1" t="s">
        <v>11</v>
      </c>
    </row>
    <row r="2" spans="1:12" ht="15.75">
      <c r="A2" s="1"/>
      <c r="B2" s="1"/>
      <c r="C2" s="1"/>
      <c r="D2" s="1"/>
      <c r="E2" s="1"/>
      <c r="F2" s="1"/>
      <c r="G2" s="1"/>
      <c r="H2" s="1"/>
      <c r="I2" s="1"/>
      <c r="J2" s="1"/>
      <c r="K2" s="3"/>
      <c r="L2" s="12">
        <f>AVERAGE(L4:L6)</f>
        <v>7</v>
      </c>
    </row>
    <row r="3" spans="1:12" ht="15.75">
      <c r="A3" s="4"/>
      <c r="B3" s="4"/>
      <c r="C3" s="5"/>
      <c r="D3" s="5"/>
      <c r="E3" s="5"/>
      <c r="F3" s="5"/>
      <c r="G3" s="5"/>
      <c r="H3" s="5"/>
      <c r="I3" s="5"/>
      <c r="J3" s="5"/>
      <c r="K3" s="6"/>
      <c r="L3" s="13"/>
    </row>
    <row r="4" spans="1:12" ht="138.75">
      <c r="A4" s="7">
        <v>1</v>
      </c>
      <c r="B4" s="8" t="s">
        <v>20</v>
      </c>
      <c r="C4" s="9" t="s">
        <v>13</v>
      </c>
      <c r="D4" s="10" t="s">
        <v>13</v>
      </c>
      <c r="E4" s="9" t="s">
        <v>13</v>
      </c>
      <c r="F4" s="9" t="s">
        <v>13</v>
      </c>
      <c r="G4" s="9" t="s">
        <v>14</v>
      </c>
      <c r="H4" s="9" t="s">
        <v>14</v>
      </c>
      <c r="I4" s="9" t="s">
        <v>13</v>
      </c>
      <c r="J4" s="10" t="s">
        <v>21</v>
      </c>
      <c r="K4" s="11" t="s">
        <v>22</v>
      </c>
      <c r="L4" s="8"/>
    </row>
    <row r="5" spans="1:12" ht="390">
      <c r="A5" s="7">
        <v>2</v>
      </c>
      <c r="B5" s="8" t="s">
        <v>23</v>
      </c>
      <c r="C5" s="16" t="s">
        <v>24</v>
      </c>
      <c r="D5" s="16" t="s">
        <v>24</v>
      </c>
      <c r="E5" s="9" t="s">
        <v>25</v>
      </c>
      <c r="F5" s="9" t="s">
        <v>25</v>
      </c>
      <c r="G5" s="16" t="s">
        <v>26</v>
      </c>
      <c r="H5" s="9" t="s">
        <v>25</v>
      </c>
      <c r="I5" s="16" t="s">
        <v>27</v>
      </c>
      <c r="J5" s="10" t="s">
        <v>21</v>
      </c>
      <c r="K5" s="15" t="s">
        <v>28</v>
      </c>
      <c r="L5" s="8">
        <v>7</v>
      </c>
    </row>
    <row r="6" spans="1:12" ht="174">
      <c r="A6" s="7">
        <v>3</v>
      </c>
      <c r="B6" s="8" t="s">
        <v>29</v>
      </c>
      <c r="C6" s="9" t="s">
        <v>13</v>
      </c>
      <c r="D6" s="10" t="s">
        <v>13</v>
      </c>
      <c r="E6" s="9" t="s">
        <v>13</v>
      </c>
      <c r="F6" s="9" t="s">
        <v>13</v>
      </c>
      <c r="G6" s="9" t="s">
        <v>14</v>
      </c>
      <c r="H6" s="9" t="s">
        <v>14</v>
      </c>
      <c r="I6" s="9" t="s">
        <v>13</v>
      </c>
      <c r="J6" s="10" t="s">
        <v>30</v>
      </c>
      <c r="K6" s="11" t="s">
        <v>22</v>
      </c>
      <c r="L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3A561-AE2E-42BB-9F7F-34091A3BC524}">
  <dimension ref="A1:L7"/>
  <sheetViews>
    <sheetView topLeftCell="F1" workbookViewId="0">
      <selection activeCell="I1" sqref="I1"/>
    </sheetView>
  </sheetViews>
  <sheetFormatPr defaultRowHeight="15"/>
  <cols>
    <col min="2" max="2" width="20" customWidth="1"/>
    <col min="3" max="3" width="22.42578125" customWidth="1"/>
    <col min="4" max="4" width="37.140625" customWidth="1"/>
    <col min="5" max="5" width="18.140625" customWidth="1"/>
    <col min="6" max="6" width="22.28515625" customWidth="1"/>
    <col min="7" max="7" width="18.5703125" customWidth="1"/>
    <col min="8" max="8" width="25.5703125" customWidth="1"/>
    <col min="9" max="9" width="44.140625" customWidth="1"/>
    <col min="10" max="10" width="21.28515625" customWidth="1"/>
    <col min="11" max="11" width="47.85546875" customWidth="1"/>
    <col min="12" max="12" width="15.42578125" customWidth="1"/>
  </cols>
  <sheetData>
    <row r="1" spans="1:12" ht="61.5">
      <c r="A1" s="1" t="s">
        <v>0</v>
      </c>
      <c r="B1" s="1" t="s">
        <v>1</v>
      </c>
      <c r="C1" s="1" t="s">
        <v>31</v>
      </c>
      <c r="D1" s="1" t="s">
        <v>32</v>
      </c>
      <c r="E1" s="2" t="s">
        <v>33</v>
      </c>
      <c r="F1" s="1" t="s">
        <v>34</v>
      </c>
      <c r="G1" s="1" t="s">
        <v>6</v>
      </c>
      <c r="H1" s="1" t="s">
        <v>35</v>
      </c>
      <c r="I1" s="1" t="s">
        <v>36</v>
      </c>
      <c r="J1" s="1" t="s">
        <v>37</v>
      </c>
      <c r="K1" s="14" t="s">
        <v>10</v>
      </c>
      <c r="L1" s="1" t="s">
        <v>11</v>
      </c>
    </row>
    <row r="2" spans="1:12" ht="31.5" customHeight="1">
      <c r="A2" s="1"/>
      <c r="B2" s="1"/>
      <c r="C2" s="1"/>
      <c r="D2" s="1"/>
      <c r="E2" s="1"/>
      <c r="F2" s="1"/>
      <c r="G2" s="1"/>
      <c r="H2" s="1"/>
      <c r="I2" s="1"/>
      <c r="J2" s="1"/>
      <c r="K2" s="34"/>
      <c r="L2" s="12">
        <f>AVERAGE(L3:L7)</f>
        <v>6.5</v>
      </c>
    </row>
    <row r="3" spans="1:12" ht="123">
      <c r="A3" s="7">
        <v>1</v>
      </c>
      <c r="B3" s="8" t="s">
        <v>38</v>
      </c>
      <c r="C3" s="23" t="s">
        <v>13</v>
      </c>
      <c r="D3" s="24" t="s">
        <v>13</v>
      </c>
      <c r="E3" s="25" t="s">
        <v>14</v>
      </c>
      <c r="F3" s="25" t="s">
        <v>13</v>
      </c>
      <c r="G3" s="25" t="s">
        <v>14</v>
      </c>
      <c r="H3" s="25" t="s">
        <v>13</v>
      </c>
      <c r="I3" s="25" t="s">
        <v>13</v>
      </c>
      <c r="J3" s="32" t="s">
        <v>13</v>
      </c>
      <c r="K3" s="30" t="s">
        <v>39</v>
      </c>
      <c r="L3" s="33"/>
    </row>
    <row r="4" spans="1:12" ht="123">
      <c r="A4" s="7">
        <v>2</v>
      </c>
      <c r="B4" s="8" t="s">
        <v>40</v>
      </c>
      <c r="C4" s="23" t="s">
        <v>13</v>
      </c>
      <c r="D4" s="25" t="s">
        <v>13</v>
      </c>
      <c r="E4" s="25" t="s">
        <v>14</v>
      </c>
      <c r="F4" s="25" t="s">
        <v>13</v>
      </c>
      <c r="G4" s="25" t="s">
        <v>14</v>
      </c>
      <c r="H4" s="25" t="s">
        <v>13</v>
      </c>
      <c r="I4" s="25" t="s">
        <v>13</v>
      </c>
      <c r="J4" s="32" t="s">
        <v>13</v>
      </c>
      <c r="K4" s="31" t="s">
        <v>41</v>
      </c>
      <c r="L4" s="33"/>
    </row>
    <row r="5" spans="1:12" ht="121.5">
      <c r="A5" s="7">
        <v>3</v>
      </c>
      <c r="B5" s="8" t="s">
        <v>42</v>
      </c>
      <c r="C5" s="23" t="s">
        <v>13</v>
      </c>
      <c r="D5" s="25" t="s">
        <v>13</v>
      </c>
      <c r="E5" s="25" t="s">
        <v>14</v>
      </c>
      <c r="F5" s="25" t="s">
        <v>13</v>
      </c>
      <c r="G5" s="25" t="s">
        <v>14</v>
      </c>
      <c r="H5" s="25" t="s">
        <v>13</v>
      </c>
      <c r="I5" s="25" t="s">
        <v>13</v>
      </c>
      <c r="J5" s="32" t="s">
        <v>13</v>
      </c>
      <c r="K5" s="31" t="s">
        <v>43</v>
      </c>
      <c r="L5" s="33"/>
    </row>
    <row r="6" spans="1:12" ht="123">
      <c r="A6" s="7">
        <v>4</v>
      </c>
      <c r="B6" s="8" t="s">
        <v>44</v>
      </c>
      <c r="C6" s="23" t="s">
        <v>13</v>
      </c>
      <c r="D6" s="25" t="s">
        <v>13</v>
      </c>
      <c r="E6" s="25" t="s">
        <v>13</v>
      </c>
      <c r="F6" s="25" t="s">
        <v>13</v>
      </c>
      <c r="G6" s="25" t="s">
        <v>13</v>
      </c>
      <c r="H6" s="25" t="s">
        <v>13</v>
      </c>
      <c r="I6" s="25" t="s">
        <v>13</v>
      </c>
      <c r="J6" s="26" t="s">
        <v>13</v>
      </c>
      <c r="K6" s="31" t="s">
        <v>45</v>
      </c>
      <c r="L6" s="33"/>
    </row>
    <row r="7" spans="1:12" ht="274.5">
      <c r="A7" s="7">
        <v>5</v>
      </c>
      <c r="B7" s="8" t="s">
        <v>46</v>
      </c>
      <c r="C7" s="23" t="s">
        <v>47</v>
      </c>
      <c r="D7" s="27" t="s">
        <v>48</v>
      </c>
      <c r="E7" s="25" t="s">
        <v>14</v>
      </c>
      <c r="F7" s="27" t="s">
        <v>49</v>
      </c>
      <c r="G7" s="27" t="s">
        <v>50</v>
      </c>
      <c r="H7" s="29" t="s">
        <v>51</v>
      </c>
      <c r="I7" s="27" t="s">
        <v>52</v>
      </c>
      <c r="J7" s="26" t="s">
        <v>53</v>
      </c>
      <c r="K7" s="30" t="s">
        <v>54</v>
      </c>
      <c r="L7" s="33">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D627-9F1C-4C7D-9361-0CDC3C906DDB}">
  <dimension ref="A1:L8"/>
  <sheetViews>
    <sheetView tabSelected="1" workbookViewId="0">
      <pane ySplit="1" topLeftCell="A2" activePane="bottomLeft" state="frozen"/>
      <selection pane="bottomLeft" activeCell="F3" sqref="F3"/>
    </sheetView>
  </sheetViews>
  <sheetFormatPr defaultRowHeight="15"/>
  <cols>
    <col min="2" max="2" width="22.140625" customWidth="1"/>
    <col min="3" max="3" width="16.7109375" customWidth="1"/>
    <col min="4" max="4" width="16.42578125" customWidth="1"/>
    <col min="5" max="5" width="17.140625" customWidth="1"/>
    <col min="6" max="6" width="16.5703125" customWidth="1"/>
    <col min="7" max="7" width="19.28515625" customWidth="1"/>
    <col min="8" max="8" width="15.140625" customWidth="1"/>
    <col min="9" max="9" width="14.42578125" customWidth="1"/>
    <col min="10" max="10" width="19.140625" customWidth="1"/>
    <col min="11" max="11" width="32.7109375" customWidth="1"/>
  </cols>
  <sheetData>
    <row r="1" spans="1:12" ht="61.5">
      <c r="A1" s="1" t="s">
        <v>0</v>
      </c>
      <c r="B1" s="1" t="s">
        <v>1</v>
      </c>
      <c r="C1" s="1" t="s">
        <v>31</v>
      </c>
      <c r="D1" s="1" t="s">
        <v>32</v>
      </c>
      <c r="E1" s="1" t="s">
        <v>33</v>
      </c>
      <c r="F1" s="1" t="s">
        <v>34</v>
      </c>
      <c r="G1" s="1" t="s">
        <v>6</v>
      </c>
      <c r="H1" s="1" t="s">
        <v>35</v>
      </c>
      <c r="I1" s="1" t="s">
        <v>36</v>
      </c>
      <c r="J1" s="1" t="s">
        <v>37</v>
      </c>
      <c r="K1" s="14" t="s">
        <v>10</v>
      </c>
      <c r="L1" s="1" t="s">
        <v>11</v>
      </c>
    </row>
    <row r="2" spans="1:12" ht="15.75">
      <c r="A2" s="1"/>
      <c r="B2" s="1"/>
      <c r="C2" s="1"/>
      <c r="D2" s="1"/>
      <c r="E2" s="1"/>
      <c r="F2" s="1"/>
      <c r="G2" s="1"/>
      <c r="H2" s="1"/>
      <c r="I2" s="1"/>
      <c r="J2" s="1"/>
      <c r="K2" s="3"/>
      <c r="L2" s="12">
        <f>AVERAGE(L3:L8)</f>
        <v>8.5</v>
      </c>
    </row>
    <row r="3" spans="1:12" ht="346.5">
      <c r="A3" s="7">
        <v>1</v>
      </c>
      <c r="B3" s="8" t="s">
        <v>55</v>
      </c>
      <c r="C3" s="10" t="s">
        <v>56</v>
      </c>
      <c r="D3" s="17" t="s">
        <v>25</v>
      </c>
      <c r="E3" s="9" t="s">
        <v>25</v>
      </c>
      <c r="F3" s="9" t="s">
        <v>25</v>
      </c>
      <c r="G3" s="9" t="s">
        <v>25</v>
      </c>
      <c r="H3" s="10" t="s">
        <v>57</v>
      </c>
      <c r="I3" s="16" t="s">
        <v>58</v>
      </c>
      <c r="J3" s="17" t="s">
        <v>25</v>
      </c>
      <c r="K3" s="18" t="s">
        <v>59</v>
      </c>
      <c r="L3" s="8">
        <v>7</v>
      </c>
    </row>
    <row r="4" spans="1:12" ht="152.25">
      <c r="A4" s="7">
        <v>2</v>
      </c>
      <c r="B4" s="8" t="s">
        <v>60</v>
      </c>
      <c r="C4" s="10" t="s">
        <v>13</v>
      </c>
      <c r="D4" s="17" t="s">
        <v>13</v>
      </c>
      <c r="E4" s="9" t="s">
        <v>25</v>
      </c>
      <c r="F4" s="9" t="s">
        <v>13</v>
      </c>
      <c r="G4" s="17" t="s">
        <v>25</v>
      </c>
      <c r="H4" s="9" t="s">
        <v>61</v>
      </c>
      <c r="I4" s="17" t="s">
        <v>13</v>
      </c>
      <c r="J4" s="17" t="s">
        <v>13</v>
      </c>
      <c r="K4" s="15" t="s">
        <v>62</v>
      </c>
      <c r="L4" s="8"/>
    </row>
    <row r="5" spans="1:12" ht="318">
      <c r="A5" s="7">
        <v>3</v>
      </c>
      <c r="B5" s="8" t="s">
        <v>63</v>
      </c>
      <c r="C5" s="16" t="s">
        <v>64</v>
      </c>
      <c r="D5" s="16" t="s">
        <v>65</v>
      </c>
      <c r="E5" s="9" t="s">
        <v>25</v>
      </c>
      <c r="F5" s="9" t="s">
        <v>25</v>
      </c>
      <c r="G5" s="16" t="s">
        <v>66</v>
      </c>
      <c r="H5" s="9" t="s">
        <v>61</v>
      </c>
      <c r="I5" s="16" t="s">
        <v>67</v>
      </c>
      <c r="J5" s="17" t="s">
        <v>68</v>
      </c>
      <c r="K5" s="18" t="s">
        <v>69</v>
      </c>
      <c r="L5" s="8"/>
    </row>
    <row r="6" spans="1:12" ht="138.75">
      <c r="A6" s="7">
        <v>4</v>
      </c>
      <c r="B6" s="8" t="s">
        <v>70</v>
      </c>
      <c r="C6" s="17" t="s">
        <v>13</v>
      </c>
      <c r="D6" s="17" t="s">
        <v>13</v>
      </c>
      <c r="E6" s="9" t="s">
        <v>25</v>
      </c>
      <c r="F6" s="9" t="s">
        <v>13</v>
      </c>
      <c r="G6" s="17" t="s">
        <v>25</v>
      </c>
      <c r="H6" s="9" t="s">
        <v>61</v>
      </c>
      <c r="I6" s="17" t="s">
        <v>13</v>
      </c>
      <c r="J6" s="17" t="s">
        <v>13</v>
      </c>
      <c r="K6" s="15" t="s">
        <v>71</v>
      </c>
      <c r="L6" s="8"/>
    </row>
    <row r="7" spans="1:12" ht="123">
      <c r="A7" s="7">
        <v>5</v>
      </c>
      <c r="B7" s="8" t="s">
        <v>72</v>
      </c>
      <c r="C7" s="9" t="s">
        <v>13</v>
      </c>
      <c r="D7" s="17" t="s">
        <v>13</v>
      </c>
      <c r="E7" s="9" t="s">
        <v>25</v>
      </c>
      <c r="F7" s="9" t="s">
        <v>13</v>
      </c>
      <c r="G7" s="9" t="s">
        <v>25</v>
      </c>
      <c r="H7" s="9" t="s">
        <v>61</v>
      </c>
      <c r="I7" s="9" t="s">
        <v>13</v>
      </c>
      <c r="J7" s="17" t="s">
        <v>13</v>
      </c>
      <c r="K7" s="18" t="s">
        <v>71</v>
      </c>
      <c r="L7" s="8"/>
    </row>
    <row r="8" spans="1:12" ht="144.75">
      <c r="A8" s="7">
        <v>6</v>
      </c>
      <c r="B8" s="8" t="s">
        <v>73</v>
      </c>
      <c r="C8" s="9" t="s">
        <v>25</v>
      </c>
      <c r="D8" s="17" t="s">
        <v>25</v>
      </c>
      <c r="E8" s="9" t="s">
        <v>25</v>
      </c>
      <c r="F8" s="9" t="s">
        <v>25</v>
      </c>
      <c r="G8" s="9" t="s">
        <v>25</v>
      </c>
      <c r="H8" s="9" t="s">
        <v>61</v>
      </c>
      <c r="I8" s="9" t="s">
        <v>61</v>
      </c>
      <c r="J8" s="17" t="s">
        <v>25</v>
      </c>
      <c r="K8" s="18" t="s">
        <v>74</v>
      </c>
      <c r="L8" s="8">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E73C-8667-4C35-8BD8-0993A662AFF3}">
  <dimension ref="A1:L8"/>
  <sheetViews>
    <sheetView workbookViewId="0">
      <selection activeCell="M1" sqref="M1"/>
    </sheetView>
  </sheetViews>
  <sheetFormatPr defaultRowHeight="15"/>
  <cols>
    <col min="2" max="2" width="45.140625" customWidth="1"/>
    <col min="3" max="3" width="12.42578125" customWidth="1"/>
    <col min="4" max="4" width="14.28515625" customWidth="1"/>
    <col min="5" max="5" width="13.28515625" customWidth="1"/>
    <col min="6" max="6" width="13.140625" customWidth="1"/>
    <col min="7" max="7" width="13.42578125" customWidth="1"/>
    <col min="8" max="8" width="13.7109375" customWidth="1"/>
    <col min="9" max="9" width="12.85546875" customWidth="1"/>
    <col min="10" max="10" width="13" customWidth="1"/>
    <col min="11" max="11" width="44.5703125" customWidth="1"/>
  </cols>
  <sheetData>
    <row r="1" spans="1:12" ht="61.5">
      <c r="A1" s="1" t="s">
        <v>0</v>
      </c>
      <c r="B1" s="1" t="s">
        <v>1</v>
      </c>
      <c r="C1" s="1" t="s">
        <v>31</v>
      </c>
      <c r="D1" s="1" t="s">
        <v>32</v>
      </c>
      <c r="E1" s="1" t="s">
        <v>33</v>
      </c>
      <c r="F1" s="1" t="s">
        <v>34</v>
      </c>
      <c r="G1" s="1" t="s">
        <v>6</v>
      </c>
      <c r="H1" s="1" t="s">
        <v>35</v>
      </c>
      <c r="I1" s="1" t="s">
        <v>36</v>
      </c>
      <c r="J1" s="1" t="s">
        <v>37</v>
      </c>
      <c r="K1" s="14" t="s">
        <v>10</v>
      </c>
      <c r="L1" s="1" t="s">
        <v>11</v>
      </c>
    </row>
    <row r="2" spans="1:12" ht="15.75">
      <c r="A2" s="1"/>
      <c r="B2" s="1"/>
      <c r="C2" s="1"/>
      <c r="D2" s="1"/>
      <c r="E2" s="1"/>
      <c r="F2" s="1"/>
      <c r="G2" s="1"/>
      <c r="H2" s="1"/>
      <c r="I2" s="1"/>
      <c r="J2" s="1"/>
      <c r="K2" s="3"/>
      <c r="L2" s="12">
        <f>AVERAGE(L3:L7)</f>
        <v>9</v>
      </c>
    </row>
    <row r="3" spans="1:12" ht="46.5">
      <c r="A3" s="7">
        <v>1</v>
      </c>
      <c r="B3" s="8" t="s">
        <v>75</v>
      </c>
      <c r="C3" s="17" t="s">
        <v>13</v>
      </c>
      <c r="D3" s="17" t="s">
        <v>13</v>
      </c>
      <c r="E3" s="9" t="s">
        <v>13</v>
      </c>
      <c r="F3" s="9" t="s">
        <v>13</v>
      </c>
      <c r="G3" s="9" t="s">
        <v>13</v>
      </c>
      <c r="H3" s="17" t="s">
        <v>13</v>
      </c>
      <c r="I3" s="17" t="s">
        <v>13</v>
      </c>
      <c r="J3" s="17" t="s">
        <v>13</v>
      </c>
      <c r="K3" s="18" t="s">
        <v>76</v>
      </c>
      <c r="L3" s="8"/>
    </row>
    <row r="4" spans="1:12" ht="46.5">
      <c r="A4" s="7">
        <v>2</v>
      </c>
      <c r="B4" s="8" t="s">
        <v>77</v>
      </c>
      <c r="C4" s="17" t="s">
        <v>13</v>
      </c>
      <c r="D4" s="17" t="s">
        <v>13</v>
      </c>
      <c r="E4" s="9" t="s">
        <v>13</v>
      </c>
      <c r="F4" s="9" t="s">
        <v>13</v>
      </c>
      <c r="G4" s="9" t="s">
        <v>13</v>
      </c>
      <c r="H4" s="17" t="s">
        <v>13</v>
      </c>
      <c r="I4" s="17" t="s">
        <v>13</v>
      </c>
      <c r="J4" s="17" t="s">
        <v>13</v>
      </c>
      <c r="K4" s="18" t="s">
        <v>76</v>
      </c>
      <c r="L4" s="8"/>
    </row>
    <row r="5" spans="1:12" ht="46.5">
      <c r="A5" s="7">
        <v>3</v>
      </c>
      <c r="B5" s="8" t="s">
        <v>78</v>
      </c>
      <c r="C5" s="17" t="s">
        <v>79</v>
      </c>
      <c r="D5" s="17" t="s">
        <v>79</v>
      </c>
      <c r="E5" s="17" t="s">
        <v>79</v>
      </c>
      <c r="F5" s="17" t="s">
        <v>79</v>
      </c>
      <c r="G5" s="17" t="s">
        <v>79</v>
      </c>
      <c r="H5" s="17" t="s">
        <v>79</v>
      </c>
      <c r="I5" s="17" t="s">
        <v>79</v>
      </c>
      <c r="J5" s="17" t="s">
        <v>79</v>
      </c>
      <c r="K5" s="18" t="s">
        <v>80</v>
      </c>
      <c r="L5" s="8"/>
    </row>
    <row r="6" spans="1:12" ht="46.5">
      <c r="A6" s="7">
        <v>4</v>
      </c>
      <c r="B6" s="8" t="s">
        <v>81</v>
      </c>
      <c r="C6" s="17" t="s">
        <v>79</v>
      </c>
      <c r="D6" s="17" t="s">
        <v>79</v>
      </c>
      <c r="E6" s="17" t="s">
        <v>79</v>
      </c>
      <c r="F6" s="17" t="s">
        <v>79</v>
      </c>
      <c r="G6" s="17" t="s">
        <v>79</v>
      </c>
      <c r="H6" s="17" t="s">
        <v>79</v>
      </c>
      <c r="I6" s="17" t="s">
        <v>79</v>
      </c>
      <c r="J6" s="17" t="s">
        <v>79</v>
      </c>
      <c r="K6" s="17" t="s">
        <v>82</v>
      </c>
      <c r="L6" s="8"/>
    </row>
    <row r="7" spans="1:12" ht="46.5">
      <c r="A7" s="7">
        <v>5</v>
      </c>
      <c r="B7" s="8" t="s">
        <v>83</v>
      </c>
      <c r="C7" s="9" t="s">
        <v>25</v>
      </c>
      <c r="D7" s="17" t="s">
        <v>84</v>
      </c>
      <c r="E7" s="9" t="s">
        <v>85</v>
      </c>
      <c r="F7" s="9" t="s">
        <v>85</v>
      </c>
      <c r="G7" s="9" t="s">
        <v>85</v>
      </c>
      <c r="H7" s="9" t="s">
        <v>25</v>
      </c>
      <c r="I7" s="9" t="s">
        <v>25</v>
      </c>
      <c r="J7" s="17" t="s">
        <v>25</v>
      </c>
      <c r="K7" s="18" t="s">
        <v>86</v>
      </c>
      <c r="L7" s="8">
        <v>9</v>
      </c>
    </row>
    <row r="8" spans="1:12" ht="101.25">
      <c r="A8" s="7">
        <v>6</v>
      </c>
      <c r="B8" s="8" t="s">
        <v>87</v>
      </c>
      <c r="C8" s="9" t="s">
        <v>25</v>
      </c>
      <c r="D8" s="17" t="s">
        <v>88</v>
      </c>
      <c r="E8" s="9" t="s">
        <v>85</v>
      </c>
      <c r="F8" s="9" t="s">
        <v>85</v>
      </c>
      <c r="G8" s="9" t="s">
        <v>85</v>
      </c>
      <c r="H8" s="9" t="s">
        <v>84</v>
      </c>
      <c r="I8" s="9" t="s">
        <v>89</v>
      </c>
      <c r="J8" s="17" t="s">
        <v>25</v>
      </c>
      <c r="K8" s="18" t="s">
        <v>90</v>
      </c>
      <c r="L8" s="8">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1A35-85F2-4064-9248-BD168389EEA9}">
  <dimension ref="A1:K7"/>
  <sheetViews>
    <sheetView workbookViewId="0">
      <pane xSplit="2" ySplit="2" topLeftCell="C3" activePane="bottomRight" state="frozen"/>
      <selection pane="bottomRight" activeCell="I3" sqref="I3"/>
      <selection pane="bottomLeft"/>
      <selection pane="topRight"/>
    </sheetView>
  </sheetViews>
  <sheetFormatPr defaultRowHeight="15.75"/>
  <cols>
    <col min="1" max="1" width="3.5703125" style="22" customWidth="1"/>
    <col min="2" max="2" width="32.85546875" style="22" customWidth="1"/>
    <col min="3" max="3" width="11" style="22" customWidth="1"/>
    <col min="4" max="4" width="13.7109375" style="22" customWidth="1"/>
    <col min="5" max="7" width="9.140625" style="22"/>
    <col min="8" max="8" width="12" style="22" customWidth="1"/>
    <col min="9" max="9" width="36" style="22" customWidth="1"/>
    <col min="10" max="10" width="8.28515625" style="22" bestFit="1" customWidth="1"/>
    <col min="11" max="11" width="33.42578125" style="22" customWidth="1"/>
    <col min="12" max="16384" width="9.140625" style="22"/>
  </cols>
  <sheetData>
    <row r="1" spans="1:11" ht="61.5" customHeight="1">
      <c r="A1" s="35" t="s">
        <v>0</v>
      </c>
      <c r="B1" s="35" t="s">
        <v>1</v>
      </c>
      <c r="C1" s="35" t="s">
        <v>31</v>
      </c>
      <c r="D1" s="35" t="s">
        <v>32</v>
      </c>
      <c r="E1" s="35" t="s">
        <v>91</v>
      </c>
      <c r="F1" s="35" t="s">
        <v>35</v>
      </c>
      <c r="G1" s="35" t="s">
        <v>92</v>
      </c>
      <c r="H1" s="35" t="s">
        <v>93</v>
      </c>
      <c r="I1" s="35" t="s">
        <v>10</v>
      </c>
      <c r="J1" s="1" t="s">
        <v>11</v>
      </c>
    </row>
    <row r="2" spans="1:11">
      <c r="A2" s="36"/>
      <c r="B2" s="36"/>
      <c r="C2" s="36"/>
      <c r="D2" s="36"/>
      <c r="E2" s="36"/>
      <c r="F2" s="36"/>
      <c r="G2" s="36"/>
      <c r="H2" s="36"/>
      <c r="I2" s="36"/>
      <c r="J2" s="12">
        <f>AVERAGE(J3:J7)</f>
        <v>8.125</v>
      </c>
    </row>
    <row r="3" spans="1:11" ht="46.5">
      <c r="A3" s="7">
        <v>1</v>
      </c>
      <c r="B3" s="8" t="s">
        <v>94</v>
      </c>
      <c r="C3" s="19" t="s">
        <v>95</v>
      </c>
      <c r="D3" s="19" t="s">
        <v>96</v>
      </c>
      <c r="E3" s="8" t="s">
        <v>95</v>
      </c>
      <c r="F3" s="19" t="s">
        <v>95</v>
      </c>
      <c r="G3" s="19" t="s">
        <v>95</v>
      </c>
      <c r="H3" s="19" t="s">
        <v>95</v>
      </c>
      <c r="I3" s="20" t="s">
        <v>97</v>
      </c>
      <c r="J3" s="8">
        <v>9</v>
      </c>
    </row>
    <row r="4" spans="1:11" ht="46.5">
      <c r="A4" s="7">
        <v>2</v>
      </c>
      <c r="B4" s="8" t="s">
        <v>98</v>
      </c>
      <c r="C4" s="19" t="s">
        <v>99</v>
      </c>
      <c r="D4" s="19" t="s">
        <v>100</v>
      </c>
      <c r="E4" s="8" t="s">
        <v>95</v>
      </c>
      <c r="F4" s="8" t="s">
        <v>95</v>
      </c>
      <c r="G4" s="19" t="s">
        <v>95</v>
      </c>
      <c r="H4" s="19" t="s">
        <v>95</v>
      </c>
      <c r="I4" s="21" t="s">
        <v>101</v>
      </c>
      <c r="J4" s="8">
        <v>8</v>
      </c>
    </row>
    <row r="5" spans="1:11" ht="46.5">
      <c r="A5" s="7">
        <v>3</v>
      </c>
      <c r="B5" s="8" t="s">
        <v>102</v>
      </c>
      <c r="C5" s="19" t="s">
        <v>95</v>
      </c>
      <c r="D5" s="19" t="s">
        <v>103</v>
      </c>
      <c r="E5" s="8" t="s">
        <v>95</v>
      </c>
      <c r="F5" s="8" t="s">
        <v>104</v>
      </c>
      <c r="G5" s="19" t="s">
        <v>95</v>
      </c>
      <c r="H5" s="19" t="s">
        <v>105</v>
      </c>
      <c r="I5" s="20" t="s">
        <v>106</v>
      </c>
      <c r="J5" s="8">
        <v>8</v>
      </c>
      <c r="K5" s="22" t="s">
        <v>107</v>
      </c>
    </row>
    <row r="6" spans="1:11" ht="64.5">
      <c r="A6" s="7">
        <v>4</v>
      </c>
      <c r="B6" s="28" t="s">
        <v>108</v>
      </c>
      <c r="C6" s="19"/>
      <c r="D6" s="19"/>
      <c r="E6" s="19"/>
      <c r="F6" s="19"/>
      <c r="G6" s="19"/>
      <c r="H6" s="19"/>
      <c r="I6" s="21" t="s">
        <v>109</v>
      </c>
      <c r="J6" s="8"/>
    </row>
    <row r="7" spans="1:11" ht="61.5">
      <c r="A7" s="7">
        <v>5</v>
      </c>
      <c r="B7" s="8" t="s">
        <v>110</v>
      </c>
      <c r="C7" s="8" t="s">
        <v>111</v>
      </c>
      <c r="D7" s="19" t="s">
        <v>112</v>
      </c>
      <c r="E7" s="8" t="s">
        <v>95</v>
      </c>
      <c r="F7" s="8" t="s">
        <v>104</v>
      </c>
      <c r="G7" s="8" t="s">
        <v>104</v>
      </c>
      <c r="H7" s="19" t="s">
        <v>113</v>
      </c>
      <c r="I7" s="20" t="s">
        <v>114</v>
      </c>
      <c r="J7" s="8">
        <v>7.5</v>
      </c>
    </row>
  </sheetData>
  <mergeCells count="9">
    <mergeCell ref="F1:F2"/>
    <mergeCell ref="G1:G2"/>
    <mergeCell ref="H1:H2"/>
    <mergeCell ref="I1:I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2026-02-17T08:44:48Z</dcterms:created>
  <dcterms:modified xsi:type="dcterms:W3CDTF">2026-03-04T09:21:03Z</dcterms:modified>
  <cp:category/>
  <cp:contentStatus/>
</cp:coreProperties>
</file>